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icien_knx\Documents\Antoine_Collignon\Simulateur\Application\"/>
    </mc:Choice>
  </mc:AlternateContent>
  <xr:revisionPtr revIDLastSave="0" documentId="13_ncr:1_{3765D881-CD2C-4C86-A125-6803A308E796}" xr6:coauthVersionLast="47" xr6:coauthVersionMax="47" xr10:uidLastSave="{00000000-0000-0000-0000-000000000000}"/>
  <bookViews>
    <workbookView xWindow="-120" yWindow="-120" windowWidth="29040" windowHeight="15720" xr2:uid="{439F2F0B-EBB6-48D7-BDE1-24F1D6BB5D52}"/>
  </bookViews>
  <sheets>
    <sheet name="Batt" sheetId="3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3" l="1"/>
  <c r="C27" i="3"/>
  <c r="D26" i="3"/>
  <c r="C26" i="3"/>
  <c r="D8" i="3"/>
  <c r="D9" i="3"/>
  <c r="D10" i="3"/>
  <c r="D11" i="3"/>
  <c r="D12" i="3"/>
  <c r="D7" i="3"/>
  <c r="E16" i="3"/>
  <c r="D15" i="3"/>
  <c r="D13" i="3"/>
  <c r="D14" i="3"/>
  <c r="D3" i="1"/>
  <c r="D4" i="1"/>
  <c r="D5" i="1"/>
  <c r="D6" i="1"/>
  <c r="D7" i="1"/>
  <c r="D8" i="1"/>
  <c r="D9" i="1"/>
  <c r="D10" i="1"/>
  <c r="D2" i="1"/>
  <c r="E2" i="3"/>
  <c r="E20" i="3"/>
  <c r="E19" i="3"/>
  <c r="E18" i="3"/>
  <c r="E17" i="3"/>
  <c r="E6" i="3"/>
  <c r="E5" i="3"/>
  <c r="E4" i="3"/>
  <c r="D5" i="3"/>
  <c r="D6" i="3"/>
  <c r="D4" i="3"/>
</calcChain>
</file>

<file path=xl/sharedStrings.xml><?xml version="1.0" encoding="utf-8"?>
<sst xmlns="http://schemas.openxmlformats.org/spreadsheetml/2006/main" count="93" uniqueCount="47">
  <si>
    <t>Marque</t>
  </si>
  <si>
    <t>BYD</t>
  </si>
  <si>
    <t>Référence</t>
  </si>
  <si>
    <t>Energie nom totale (kWh)</t>
  </si>
  <si>
    <t>Energie util</t>
  </si>
  <si>
    <t>Garantie du produit</t>
  </si>
  <si>
    <t>15 ans</t>
  </si>
  <si>
    <t>Garantie de perfom (%)</t>
  </si>
  <si>
    <t>BYD Battery Box HVE 6.4 Module (17161353-00)</t>
  </si>
  <si>
    <t>SMA</t>
  </si>
  <si>
    <t>P charge / décharge</t>
  </si>
  <si>
    <t>Fronius</t>
  </si>
  <si>
    <t>Reserva Pro module de batterie 3,98 kWh</t>
  </si>
  <si>
    <t>Reserva Pro 12.0</t>
  </si>
  <si>
    <t>Reserva Pro 16.0</t>
  </si>
  <si>
    <t>Reserva Pro 20.0</t>
  </si>
  <si>
    <t>Huawei</t>
  </si>
  <si>
    <t>SMA Home 3.2</t>
  </si>
  <si>
    <t>SMA Home 6.5</t>
  </si>
  <si>
    <t>SMA Home 9.8</t>
  </si>
  <si>
    <t>SMA Home 13.1</t>
  </si>
  <si>
    <t>SMA Home 16.4</t>
  </si>
  <si>
    <t>LG</t>
  </si>
  <si>
    <t>Chem RESU 10</t>
  </si>
  <si>
    <t>SE</t>
  </si>
  <si>
    <t>SE Home Battery 48 V (2x)</t>
  </si>
  <si>
    <t>Belup</t>
  </si>
  <si>
    <t>Plu-Tri 9,6</t>
  </si>
  <si>
    <t>LUNA2000-7-S1</t>
  </si>
  <si>
    <t>LUNA2000-5-S1</t>
  </si>
  <si>
    <t>LUNA2000-12-S1 (5+7)</t>
  </si>
  <si>
    <t>LUNA2000-10-S1 (5+5)</t>
  </si>
  <si>
    <t>LUNA2000-14-S1 (7+7)</t>
  </si>
  <si>
    <t>LUNA2000-15-S1 (3 x 5)</t>
  </si>
  <si>
    <t>LUNA2000-17-S1 (5+5+7)</t>
  </si>
  <si>
    <t>LUNA2000-21-S1 (7+7+7)</t>
  </si>
  <si>
    <t>LUNA2000-19-S1 (5+7+7)</t>
  </si>
  <si>
    <t>Efficacité 0 (%)</t>
  </si>
  <si>
    <t>P charge / décharge (kW)</t>
  </si>
  <si>
    <t>Energie util (kWh)</t>
  </si>
  <si>
    <t>Capacité commerciale (kWh)</t>
  </si>
  <si>
    <t>Rendement</t>
  </si>
  <si>
    <t>US5000-48V 3x</t>
  </si>
  <si>
    <t>US5000-48V 4x</t>
  </si>
  <si>
    <t>US5000-48V  2x</t>
  </si>
  <si>
    <t>US5000-48V 1x</t>
  </si>
  <si>
    <t>Pylontech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</si>
</sst>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AAE99-37F8-43E5-8DC6-4960C0E60F31}" name="Tableau13" displayName="Tableau13" ref="A1:G28" totalsRowShown="0">
  <autoFilter ref="A1:G28" xr:uid="{EE3ACE20-211D-4EE0-86F4-04F562BCD3BD}"/>
  <sortState xmlns:xlrd2="http://schemas.microsoft.com/office/spreadsheetml/2017/richdata2" ref="A2:E25">
    <sortCondition ref="A1:A28"/>
  </sortState>
  <tableColumns count="7">
    <tableColumn id="2" xr3:uid="{C4C0F608-FE03-493E-A86D-689702E81FBD}" name="Marque"/>
    <tableColumn id="13" xr3:uid="{09B7C27F-7FA5-43FC-89CE-74D3FFD77488}" name="Référence"/>
    <tableColumn id="14" xr3:uid="{E91ECB42-E558-46DE-BCEB-7E0119220A6E}" name="Energie nom totale (kWh)"/>
    <tableColumn id="3" xr3:uid="{B731C204-3F0B-4D29-A459-22C74B3F60C4}" name="Energie util"/>
    <tableColumn id="1" xr3:uid="{E832FB0C-C0CA-45EB-8A35-2D325BD490D9}" name="P charge / décharge" dataDxfId="1"/>
    <tableColumn id="4" xr3:uid="{B0AC4995-B96A-4BF2-A895-7694B8EC2EC7}" name="Rendement"/>
    <tableColumn id="5" xr3:uid="{434E261B-B365-42B0-86E0-BF4AAA36F101}" name="Capacité commerciale (kWh)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ACE20-211D-4EE0-86F4-04F562BCD3BD}" name="Tableau1" displayName="Tableau1" ref="A1:H50" totalsRowShown="0">
  <autoFilter ref="A1:H50" xr:uid="{EE3ACE20-211D-4EE0-86F4-04F562BCD3BD}"/>
  <tableColumns count="8">
    <tableColumn id="2" xr3:uid="{A74DCB04-C5A9-46A5-9209-6B9756DA51F1}" name="Marque"/>
    <tableColumn id="13" xr3:uid="{9B04F7B5-4B2F-447E-8FE0-9E9EFA0C52A6}" name="Référence"/>
    <tableColumn id="14" xr3:uid="{CF05CCF5-41D1-428F-BE20-A568D6C65374}" name="Energie nom totale (kWh)"/>
    <tableColumn id="3" xr3:uid="{A802719A-9F2C-41AA-83E2-D33F06AE05D1}" name="Energie util (kWh)"/>
    <tableColumn id="4" xr3:uid="{5472E805-6EA2-4058-B4C7-F562E98BB021}" name="P charge / décharge (kW)"/>
    <tableColumn id="5" xr3:uid="{568EE9ED-2506-45A7-995E-AC6C32906516}" name="Efficacité 0 (%)"/>
    <tableColumn id="7" xr3:uid="{41ACFA45-E5BA-4235-B119-983B898A616A}" name="Garantie du produit"/>
    <tableColumn id="9" xr3:uid="{548A1920-779A-4670-89FF-79907FC15DDF}" name="Garantie de perfom (%)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2B00-7C12-4340-981B-DAC64C55AA63}">
  <dimension ref="A1:G27"/>
  <sheetViews>
    <sheetView tabSelected="1" topLeftCell="A4" zoomScale="115" zoomScaleNormal="115" workbookViewId="0">
      <selection activeCell="B25" sqref="B24:B25"/>
    </sheetView>
  </sheetViews>
  <sheetFormatPr baseColWidth="10" defaultRowHeight="15" x14ac:dyDescent="0.25"/>
  <cols>
    <col min="1" max="1" width="22.5703125" bestFit="1" customWidth="1"/>
    <col min="2" max="2" width="42.140625" bestFit="1" customWidth="1"/>
    <col min="3" max="3" width="26.42578125" bestFit="1" customWidth="1"/>
    <col min="4" max="4" width="13.5703125" bestFit="1" customWidth="1"/>
    <col min="5" max="5" width="20.85546875" bestFit="1" customWidth="1"/>
    <col min="6" max="6" width="13.85546875" bestFit="1" customWidth="1"/>
    <col min="7" max="7" width="29.7109375" bestFit="1" customWidth="1"/>
  </cols>
  <sheetData>
    <row r="1" spans="1:7" x14ac:dyDescent="0.25">
      <c r="A1" t="s">
        <v>0</v>
      </c>
      <c r="B1" t="s">
        <v>2</v>
      </c>
      <c r="C1" t="s">
        <v>3</v>
      </c>
      <c r="D1" t="s">
        <v>4</v>
      </c>
      <c r="E1" t="s">
        <v>10</v>
      </c>
      <c r="F1" t="s">
        <v>41</v>
      </c>
      <c r="G1" t="s">
        <v>40</v>
      </c>
    </row>
    <row r="2" spans="1:7" x14ac:dyDescent="0.25">
      <c r="A2" t="s">
        <v>1</v>
      </c>
      <c r="B2" t="s">
        <v>8</v>
      </c>
      <c r="C2">
        <v>6.43</v>
      </c>
      <c r="D2">
        <v>6.43</v>
      </c>
      <c r="E2">
        <f>35*115.2/1000</f>
        <v>4.032</v>
      </c>
      <c r="G2">
        <v>6.4</v>
      </c>
    </row>
    <row r="3" spans="1:7" x14ac:dyDescent="0.25">
      <c r="A3" t="s">
        <v>11</v>
      </c>
      <c r="B3" t="s">
        <v>12</v>
      </c>
      <c r="C3">
        <v>3.98</v>
      </c>
      <c r="D3">
        <v>3.98</v>
      </c>
      <c r="G3">
        <v>4</v>
      </c>
    </row>
    <row r="4" spans="1:7" x14ac:dyDescent="0.25">
      <c r="A4" t="s">
        <v>11</v>
      </c>
      <c r="B4" t="s">
        <v>13</v>
      </c>
      <c r="C4">
        <v>11.9</v>
      </c>
      <c r="D4">
        <f>Tableau13[[#This Row],[Energie nom totale (kWh)]]</f>
        <v>11.9</v>
      </c>
      <c r="E4">
        <f>50*212.52/1000</f>
        <v>10.625999999999999</v>
      </c>
      <c r="G4">
        <v>12</v>
      </c>
    </row>
    <row r="5" spans="1:7" x14ac:dyDescent="0.25">
      <c r="A5" t="s">
        <v>11</v>
      </c>
      <c r="B5" t="s">
        <v>14</v>
      </c>
      <c r="C5">
        <v>15.9</v>
      </c>
      <c r="D5">
        <f>Tableau13[[#This Row],[Energie nom totale (kWh)]]</f>
        <v>15.9</v>
      </c>
      <c r="E5">
        <f>50*283.36/1000</f>
        <v>14.167999999999999</v>
      </c>
      <c r="G5">
        <v>16</v>
      </c>
    </row>
    <row r="6" spans="1:7" x14ac:dyDescent="0.25">
      <c r="A6" t="s">
        <v>11</v>
      </c>
      <c r="B6" t="s">
        <v>15</v>
      </c>
      <c r="C6">
        <v>19.899999999999999</v>
      </c>
      <c r="D6">
        <f>Tableau13[[#This Row],[Energie nom totale (kWh)]]</f>
        <v>19.899999999999999</v>
      </c>
      <c r="E6">
        <f>50*354.2/1000</f>
        <v>17.71</v>
      </c>
      <c r="G6">
        <v>20</v>
      </c>
    </row>
    <row r="7" spans="1:7" x14ac:dyDescent="0.25">
      <c r="A7" t="s">
        <v>16</v>
      </c>
      <c r="B7" t="s">
        <v>29</v>
      </c>
      <c r="C7">
        <v>5</v>
      </c>
      <c r="D7" s="1">
        <f>Tableau13[[#This Row],[Energie nom totale (kWh)]]*Tableau13[[#This Row],[Rendement]]/100</f>
        <v>4.9349999999999996</v>
      </c>
      <c r="E7">
        <v>3.5</v>
      </c>
      <c r="F7">
        <v>98.7</v>
      </c>
      <c r="G7">
        <v>5</v>
      </c>
    </row>
    <row r="8" spans="1:7" x14ac:dyDescent="0.25">
      <c r="A8" t="s">
        <v>16</v>
      </c>
      <c r="B8" t="s">
        <v>28</v>
      </c>
      <c r="C8">
        <v>6.9</v>
      </c>
      <c r="D8" s="1">
        <f>Tableau13[[#This Row],[Energie nom totale (kWh)]]*Tableau13[[#This Row],[Rendement]]/100</f>
        <v>6.8103000000000007</v>
      </c>
      <c r="E8">
        <v>3.5</v>
      </c>
      <c r="F8">
        <v>98.7</v>
      </c>
      <c r="G8">
        <v>7</v>
      </c>
    </row>
    <row r="9" spans="1:7" x14ac:dyDescent="0.25">
      <c r="A9" t="s">
        <v>16</v>
      </c>
      <c r="B9" t="s">
        <v>31</v>
      </c>
      <c r="C9">
        <v>10</v>
      </c>
      <c r="D9" s="1">
        <f>Tableau13[[#This Row],[Energie nom totale (kWh)]]*Tableau13[[#This Row],[Rendement]]/100</f>
        <v>9.8699999999999992</v>
      </c>
      <c r="E9">
        <v>7</v>
      </c>
      <c r="F9">
        <v>98.7</v>
      </c>
      <c r="G9">
        <v>10</v>
      </c>
    </row>
    <row r="10" spans="1:7" x14ac:dyDescent="0.25">
      <c r="A10" t="s">
        <v>16</v>
      </c>
      <c r="B10" t="s">
        <v>30</v>
      </c>
      <c r="C10">
        <v>11.9</v>
      </c>
      <c r="D10" s="1">
        <f>Tableau13[[#This Row],[Energie nom totale (kWh)]]*Tableau13[[#This Row],[Rendement]]/100</f>
        <v>11.7453</v>
      </c>
      <c r="E10">
        <v>7</v>
      </c>
      <c r="F10">
        <v>98.7</v>
      </c>
      <c r="G10">
        <v>12</v>
      </c>
    </row>
    <row r="11" spans="1:7" x14ac:dyDescent="0.25">
      <c r="A11" t="s">
        <v>16</v>
      </c>
      <c r="B11" t="s">
        <v>32</v>
      </c>
      <c r="C11">
        <v>13.8</v>
      </c>
      <c r="D11" s="1">
        <f>Tableau13[[#This Row],[Energie nom totale (kWh)]]*Tableau13[[#This Row],[Rendement]]/100</f>
        <v>13.620600000000001</v>
      </c>
      <c r="E11">
        <v>7</v>
      </c>
      <c r="F11">
        <v>98.7</v>
      </c>
      <c r="G11">
        <v>14</v>
      </c>
    </row>
    <row r="12" spans="1:7" x14ac:dyDescent="0.25">
      <c r="A12" t="s">
        <v>16</v>
      </c>
      <c r="B12" t="s">
        <v>33</v>
      </c>
      <c r="C12">
        <v>15</v>
      </c>
      <c r="D12" s="1">
        <f>Tableau13[[#This Row],[Energie nom totale (kWh)]]*Tableau13[[#This Row],[Rendement]]/100</f>
        <v>14.805</v>
      </c>
      <c r="E12">
        <v>10.5</v>
      </c>
      <c r="F12">
        <v>98.7</v>
      </c>
      <c r="G12">
        <v>15</v>
      </c>
    </row>
    <row r="13" spans="1:7" x14ac:dyDescent="0.25">
      <c r="A13" t="s">
        <v>16</v>
      </c>
      <c r="B13" t="s">
        <v>34</v>
      </c>
      <c r="C13">
        <v>16.899999999999999</v>
      </c>
      <c r="D13" s="1">
        <f>Tableau13[[#This Row],[Energie nom totale (kWh)]]*F14/100</f>
        <v>16.680299999999999</v>
      </c>
      <c r="E13">
        <v>10.5</v>
      </c>
      <c r="F13">
        <v>98.7</v>
      </c>
      <c r="G13">
        <v>17</v>
      </c>
    </row>
    <row r="14" spans="1:7" x14ac:dyDescent="0.25">
      <c r="A14" t="s">
        <v>16</v>
      </c>
      <c r="B14" t="s">
        <v>36</v>
      </c>
      <c r="C14">
        <v>18.8</v>
      </c>
      <c r="D14" s="1">
        <f>Tableau13[[#This Row],[Energie nom totale (kWh)]]*F15/100</f>
        <v>18.555600000000002</v>
      </c>
      <c r="E14">
        <v>10.5</v>
      </c>
      <c r="F14">
        <v>98.7</v>
      </c>
      <c r="G14">
        <v>19</v>
      </c>
    </row>
    <row r="15" spans="1:7" x14ac:dyDescent="0.25">
      <c r="A15" t="s">
        <v>16</v>
      </c>
      <c r="B15" t="s">
        <v>35</v>
      </c>
      <c r="C15">
        <v>20.7</v>
      </c>
      <c r="D15" s="1">
        <f>Tableau13[[#This Row],[Energie nom totale (kWh)]]*F15/100</f>
        <v>20.430899999999998</v>
      </c>
      <c r="E15">
        <v>10.5</v>
      </c>
      <c r="F15">
        <v>98.7</v>
      </c>
      <c r="G15">
        <v>21</v>
      </c>
    </row>
    <row r="16" spans="1:7" x14ac:dyDescent="0.25">
      <c r="A16" t="s">
        <v>9</v>
      </c>
      <c r="B16" t="s">
        <v>17</v>
      </c>
      <c r="C16">
        <v>3.28</v>
      </c>
      <c r="D16">
        <v>3.28</v>
      </c>
      <c r="E16">
        <f>96*36/1000</f>
        <v>3.456</v>
      </c>
      <c r="G16">
        <v>3.2</v>
      </c>
    </row>
    <row r="17" spans="1:7" x14ac:dyDescent="0.25">
      <c r="A17" t="s">
        <v>9</v>
      </c>
      <c r="B17" t="s">
        <v>18</v>
      </c>
      <c r="C17">
        <v>6.56</v>
      </c>
      <c r="D17">
        <v>6.56</v>
      </c>
      <c r="E17">
        <f>192*36/1000</f>
        <v>6.9119999999999999</v>
      </c>
      <c r="G17">
        <v>6.5</v>
      </c>
    </row>
    <row r="18" spans="1:7" x14ac:dyDescent="0.25">
      <c r="A18" t="s">
        <v>9</v>
      </c>
      <c r="B18" t="s">
        <v>19</v>
      </c>
      <c r="C18">
        <v>9.84</v>
      </c>
      <c r="D18">
        <v>9.84</v>
      </c>
      <c r="E18">
        <f>288*36/1000</f>
        <v>10.368</v>
      </c>
      <c r="G18">
        <v>9.8000000000000007</v>
      </c>
    </row>
    <row r="19" spans="1:7" x14ac:dyDescent="0.25">
      <c r="A19" t="s">
        <v>9</v>
      </c>
      <c r="B19" t="s">
        <v>20</v>
      </c>
      <c r="C19">
        <v>13.12</v>
      </c>
      <c r="D19">
        <v>13.12</v>
      </c>
      <c r="E19">
        <f>384*36/1000</f>
        <v>13.824</v>
      </c>
      <c r="G19">
        <v>13.1</v>
      </c>
    </row>
    <row r="20" spans="1:7" x14ac:dyDescent="0.25">
      <c r="A20" t="s">
        <v>9</v>
      </c>
      <c r="B20" t="s">
        <v>21</v>
      </c>
      <c r="C20">
        <v>16.399999999999999</v>
      </c>
      <c r="D20">
        <v>16.399999999999999</v>
      </c>
      <c r="E20">
        <f>480*36/1000</f>
        <v>17.28</v>
      </c>
      <c r="G20">
        <v>16.399999999999999</v>
      </c>
    </row>
    <row r="21" spans="1:7" x14ac:dyDescent="0.25">
      <c r="A21" t="s">
        <v>22</v>
      </c>
      <c r="B21" t="s">
        <v>23</v>
      </c>
      <c r="C21">
        <v>9.8000000000000007</v>
      </c>
      <c r="D21">
        <v>8.8000000000000007</v>
      </c>
      <c r="E21">
        <v>5</v>
      </c>
      <c r="G21">
        <v>10</v>
      </c>
    </row>
    <row r="22" spans="1:7" x14ac:dyDescent="0.25">
      <c r="A22" t="s">
        <v>24</v>
      </c>
      <c r="B22" t="s">
        <v>25</v>
      </c>
      <c r="C22">
        <v>9.1999999999999993</v>
      </c>
      <c r="D22">
        <v>9.1999999999999993</v>
      </c>
      <c r="E22">
        <v>5</v>
      </c>
      <c r="G22">
        <v>10</v>
      </c>
    </row>
    <row r="23" spans="1:7" x14ac:dyDescent="0.25">
      <c r="A23" t="s">
        <v>26</v>
      </c>
      <c r="B23" t="s">
        <v>27</v>
      </c>
      <c r="C23">
        <v>9.6</v>
      </c>
      <c r="D23">
        <v>9.1199999999999992</v>
      </c>
      <c r="E23">
        <v>9</v>
      </c>
      <c r="G23">
        <v>10</v>
      </c>
    </row>
    <row r="24" spans="1:7" x14ac:dyDescent="0.25">
      <c r="A24" t="s">
        <v>46</v>
      </c>
      <c r="B24" t="s">
        <v>45</v>
      </c>
      <c r="C24">
        <v>4.8</v>
      </c>
      <c r="D24">
        <v>4.8</v>
      </c>
      <c r="E24">
        <v>3.5</v>
      </c>
      <c r="G24">
        <v>5</v>
      </c>
    </row>
    <row r="25" spans="1:7" x14ac:dyDescent="0.25">
      <c r="A25" t="s">
        <v>46</v>
      </c>
      <c r="B25" t="s">
        <v>44</v>
      </c>
      <c r="C25">
        <v>9.6</v>
      </c>
      <c r="D25">
        <v>9.6</v>
      </c>
      <c r="E25">
        <v>7</v>
      </c>
      <c r="G25">
        <v>10</v>
      </c>
    </row>
    <row r="26" spans="1:7" x14ac:dyDescent="0.25">
      <c r="A26" t="s">
        <v>46</v>
      </c>
      <c r="B26" t="s">
        <v>42</v>
      </c>
      <c r="C26">
        <f>C25+C24</f>
        <v>14.399999999999999</v>
      </c>
      <c r="D26">
        <f>Tableau13[[#This Row],[Energie nom totale (kWh)]]</f>
        <v>14.399999999999999</v>
      </c>
      <c r="E26">
        <v>10.5</v>
      </c>
      <c r="G26">
        <v>15</v>
      </c>
    </row>
    <row r="27" spans="1:7" x14ac:dyDescent="0.25">
      <c r="A27" t="s">
        <v>46</v>
      </c>
      <c r="B27" t="s">
        <v>43</v>
      </c>
      <c r="C27">
        <f>C26+C24</f>
        <v>19.2</v>
      </c>
      <c r="D27">
        <f>Tableau13[[#This Row],[Energie nom totale (kWh)]]</f>
        <v>19.2</v>
      </c>
      <c r="E27">
        <v>10.5</v>
      </c>
      <c r="G27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3304-DA36-47CB-849F-4B331DDA184B}">
  <dimension ref="A1:H10"/>
  <sheetViews>
    <sheetView topLeftCell="B1" zoomScale="115" zoomScaleNormal="115" workbookViewId="0">
      <selection activeCell="F2" sqref="F2:F10"/>
    </sheetView>
  </sheetViews>
  <sheetFormatPr baseColWidth="10" defaultRowHeight="15" x14ac:dyDescent="0.25"/>
  <cols>
    <col min="2" max="2" width="23.42578125" bestFit="1" customWidth="1"/>
    <col min="3" max="3" width="26.42578125" bestFit="1" customWidth="1"/>
    <col min="4" max="4" width="17" customWidth="1"/>
    <col min="5" max="5" width="25.7109375" bestFit="1" customWidth="1"/>
    <col min="6" max="6" width="16.7109375" bestFit="1" customWidth="1"/>
    <col min="7" max="7" width="20.85546875" bestFit="1" customWidth="1"/>
    <col min="8" max="8" width="24.7109375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39</v>
      </c>
      <c r="E1" t="s">
        <v>38</v>
      </c>
      <c r="F1" t="s">
        <v>37</v>
      </c>
      <c r="G1" t="s">
        <v>5</v>
      </c>
      <c r="H1" t="s">
        <v>7</v>
      </c>
    </row>
    <row r="2" spans="1:8" x14ac:dyDescent="0.25">
      <c r="A2" t="s">
        <v>16</v>
      </c>
      <c r="B2" t="s">
        <v>29</v>
      </c>
      <c r="C2">
        <v>5</v>
      </c>
      <c r="D2" s="1">
        <f>Tableau1[[#This Row],[Energie nom totale (kWh)]]*0.987</f>
        <v>4.9349999999999996</v>
      </c>
      <c r="E2">
        <v>3.5</v>
      </c>
      <c r="F2">
        <v>98.7</v>
      </c>
      <c r="G2" t="s">
        <v>6</v>
      </c>
      <c r="H2">
        <v>80</v>
      </c>
    </row>
    <row r="3" spans="1:8" x14ac:dyDescent="0.25">
      <c r="A3" t="s">
        <v>16</v>
      </c>
      <c r="B3" t="s">
        <v>28</v>
      </c>
      <c r="C3">
        <v>6.9</v>
      </c>
      <c r="D3" s="1">
        <f>Tableau1[[#This Row],[Energie nom totale (kWh)]]*0.987</f>
        <v>6.8103000000000007</v>
      </c>
      <c r="E3">
        <v>3.5</v>
      </c>
      <c r="F3">
        <v>98.7</v>
      </c>
      <c r="G3" t="s">
        <v>6</v>
      </c>
      <c r="H3">
        <v>80</v>
      </c>
    </row>
    <row r="4" spans="1:8" x14ac:dyDescent="0.25">
      <c r="A4" t="s">
        <v>16</v>
      </c>
      <c r="B4" t="s">
        <v>31</v>
      </c>
      <c r="C4">
        <v>10</v>
      </c>
      <c r="D4" s="1">
        <f>Tableau1[[#This Row],[Energie nom totale (kWh)]]*0.987</f>
        <v>9.8699999999999992</v>
      </c>
      <c r="E4">
        <v>7</v>
      </c>
      <c r="F4">
        <v>98.7</v>
      </c>
      <c r="G4" t="s">
        <v>6</v>
      </c>
      <c r="H4">
        <v>80</v>
      </c>
    </row>
    <row r="5" spans="1:8" x14ac:dyDescent="0.25">
      <c r="A5" t="s">
        <v>16</v>
      </c>
      <c r="B5" t="s">
        <v>30</v>
      </c>
      <c r="C5">
        <v>11.9</v>
      </c>
      <c r="D5" s="1">
        <f>Tableau1[[#This Row],[Energie nom totale (kWh)]]*0.987</f>
        <v>11.7453</v>
      </c>
      <c r="E5">
        <v>7</v>
      </c>
      <c r="F5">
        <v>98.7</v>
      </c>
      <c r="G5" t="s">
        <v>6</v>
      </c>
      <c r="H5">
        <v>80</v>
      </c>
    </row>
    <row r="6" spans="1:8" x14ac:dyDescent="0.25">
      <c r="A6" t="s">
        <v>16</v>
      </c>
      <c r="B6" t="s">
        <v>32</v>
      </c>
      <c r="C6">
        <v>13.8</v>
      </c>
      <c r="D6" s="1">
        <f>Tableau1[[#This Row],[Energie nom totale (kWh)]]*0.987</f>
        <v>13.620600000000001</v>
      </c>
      <c r="E6">
        <v>7</v>
      </c>
      <c r="F6">
        <v>98.7</v>
      </c>
      <c r="G6" t="s">
        <v>6</v>
      </c>
      <c r="H6">
        <v>80</v>
      </c>
    </row>
    <row r="7" spans="1:8" x14ac:dyDescent="0.25">
      <c r="A7" t="s">
        <v>16</v>
      </c>
      <c r="B7" t="s">
        <v>33</v>
      </c>
      <c r="C7">
        <v>15</v>
      </c>
      <c r="D7" s="1">
        <f>Tableau1[[#This Row],[Energie nom totale (kWh)]]*0.987</f>
        <v>14.805</v>
      </c>
      <c r="E7">
        <v>10.5</v>
      </c>
      <c r="F7">
        <v>98.7</v>
      </c>
      <c r="G7" t="s">
        <v>6</v>
      </c>
      <c r="H7">
        <v>80</v>
      </c>
    </row>
    <row r="8" spans="1:8" x14ac:dyDescent="0.25">
      <c r="A8" t="s">
        <v>16</v>
      </c>
      <c r="B8" t="s">
        <v>34</v>
      </c>
      <c r="C8">
        <v>16.899999999999999</v>
      </c>
      <c r="D8" s="1">
        <f>Tableau1[[#This Row],[Energie nom totale (kWh)]]*0.987</f>
        <v>16.680299999999999</v>
      </c>
      <c r="E8">
        <v>10.5</v>
      </c>
      <c r="F8">
        <v>98.7</v>
      </c>
      <c r="G8" t="s">
        <v>6</v>
      </c>
      <c r="H8">
        <v>80</v>
      </c>
    </row>
    <row r="9" spans="1:8" x14ac:dyDescent="0.25">
      <c r="B9" t="s">
        <v>36</v>
      </c>
      <c r="C9">
        <v>18.8</v>
      </c>
      <c r="D9" s="1">
        <f>Tableau1[[#This Row],[Energie nom totale (kWh)]]*0.987</f>
        <v>18.555600000000002</v>
      </c>
      <c r="E9">
        <v>10.5</v>
      </c>
      <c r="F9">
        <v>98.7</v>
      </c>
      <c r="G9" t="s">
        <v>6</v>
      </c>
      <c r="H9">
        <v>80</v>
      </c>
    </row>
    <row r="10" spans="1:8" x14ac:dyDescent="0.25">
      <c r="A10" t="s">
        <v>16</v>
      </c>
      <c r="B10" t="s">
        <v>35</v>
      </c>
      <c r="C10">
        <v>20.7</v>
      </c>
      <c r="D10" s="1">
        <f>Tableau1[[#This Row],[Energie nom totale (kWh)]]*0.987</f>
        <v>20.430899999999998</v>
      </c>
      <c r="E10">
        <v>10.5</v>
      </c>
      <c r="F10">
        <v>98.7</v>
      </c>
      <c r="G10" t="s">
        <v>6</v>
      </c>
      <c r="H10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Batt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 WES</dc:creator>
  <cp:lastModifiedBy>Etudiant WES</cp:lastModifiedBy>
  <dcterms:created xsi:type="dcterms:W3CDTF">2026-02-23T14:06:08Z</dcterms:created>
  <dcterms:modified xsi:type="dcterms:W3CDTF">2026-05-18T13:14:56Z</dcterms:modified>
</cp:coreProperties>
</file>